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home\ubuntu\csu_phd\Paper-2-INCOSE\Software\xLM_DSM\data\"/>
    </mc:Choice>
  </mc:AlternateContent>
  <xr:revisionPtr revIDLastSave="0" documentId="13_ncr:1_{38075CB3-F6D0-43EF-80E2-98521775B5F4}" xr6:coauthVersionLast="47" xr6:coauthVersionMax="47" xr10:uidLastSave="{00000000-0000-0000-0000-000000000000}"/>
  <bookViews>
    <workbookView xWindow="-96" yWindow="-96" windowWidth="23232" windowHeight="13872" activeTab="1" xr2:uid="{9460D920-AAA9-4E35-B0F4-9A9DB32AE7EF}"/>
  </bookViews>
  <sheets>
    <sheet name="Coversheet" sheetId="6" r:id="rId1"/>
    <sheet name="CubeSat" sheetId="1" r:id="rId2"/>
    <sheet name="PowerDri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J30" i="3"/>
  <c r="I30" i="3"/>
  <c r="H30" i="3"/>
  <c r="G30" i="3"/>
  <c r="F30" i="3"/>
  <c r="E30" i="3"/>
  <c r="D30" i="3"/>
  <c r="C30" i="3"/>
  <c r="J30" i="1"/>
  <c r="I30" i="1"/>
  <c r="H30" i="1"/>
  <c r="G30" i="1"/>
  <c r="F30" i="1"/>
  <c r="E30" i="1"/>
  <c r="D30" i="1"/>
  <c r="C30" i="1"/>
  <c r="C3" i="6" s="1"/>
  <c r="C2" i="6"/>
  <c r="C5" i="6" l="1"/>
  <c r="C4" i="6"/>
  <c r="C7" i="6" s="1"/>
</calcChain>
</file>

<file path=xl/sharedStrings.xml><?xml version="1.0" encoding="utf-8"?>
<sst xmlns="http://schemas.openxmlformats.org/spreadsheetml/2006/main" count="516" uniqueCount="51">
  <si>
    <t>gpt-3.5-turbo</t>
  </si>
  <si>
    <t>gpt-3.5-turbo + RAG</t>
  </si>
  <si>
    <t>References</t>
  </si>
  <si>
    <t>gpt-4-turbo</t>
  </si>
  <si>
    <t>gpt-4-turbo + RAG</t>
  </si>
  <si>
    <t>gpt-4o</t>
  </si>
  <si>
    <t>gpt-4o + RAG</t>
  </si>
  <si>
    <t>gpt-4o + RAG + neo4j</t>
  </si>
  <si>
    <t>ID</t>
  </si>
  <si>
    <t>claude-3-5-sonnet-20241022</t>
  </si>
  <si>
    <t>claude-3-5-sonnet-20241022 + RAG</t>
  </si>
  <si>
    <t>claude-3-opus-20240307</t>
  </si>
  <si>
    <t>claude-3-opus-20240307 + RAG</t>
  </si>
  <si>
    <t>claude-3-haiku-20240307</t>
  </si>
  <si>
    <t>claude-3-haiku-20240307 + RAG</t>
  </si>
  <si>
    <t>R1</t>
  </si>
  <si>
    <t>R2</t>
  </si>
  <si>
    <t>R1, R2</t>
  </si>
  <si>
    <t>R1, R3</t>
  </si>
  <si>
    <t>R3</t>
  </si>
  <si>
    <t>R2, R3</t>
  </si>
  <si>
    <t>R1, R2, R3</t>
  </si>
  <si>
    <t>no_ref</t>
  </si>
  <si>
    <t>ollama-llama-3-405B</t>
  </si>
  <si>
    <t>ollama-llama-3-70B</t>
  </si>
  <si>
    <t>ollama-llama-3-8B</t>
  </si>
  <si>
    <t>ollama-llama-3-405B + RAG</t>
  </si>
  <si>
    <t>ollama-llama-3-70B + RAG</t>
  </si>
  <si>
    <t>ollama-llama-3-8B + RAG</t>
  </si>
  <si>
    <t>Total</t>
  </si>
  <si>
    <t>3D Printer</t>
  </si>
  <si>
    <t>CubeSat</t>
  </si>
  <si>
    <t>PowerDrill</t>
  </si>
  <si>
    <t>Misumi</t>
  </si>
  <si>
    <t>Vention</t>
  </si>
  <si>
    <t># of Experiments</t>
  </si>
  <si>
    <t>Use Case</t>
  </si>
  <si>
    <t>Total Number of Experiments</t>
  </si>
  <si>
    <t>Model</t>
  </si>
  <si>
    <t>End of Experiment</t>
  </si>
  <si>
    <t>claude-3-5-sonnet-20241022 + RAG + GRAPH</t>
  </si>
  <si>
    <t>claude-3-opus-20240307 + RAG + GRAPH</t>
  </si>
  <si>
    <t>claude-3-haiku-20240307 + RAG + GRAPH</t>
  </si>
  <si>
    <t>ollama-llama-3-405B + RAG + GRAPH</t>
  </si>
  <si>
    <t>ollama-llama-3-70B + RAG + GRAPH</t>
  </si>
  <si>
    <t>ollama-llama-3-8B + RAG + GRAPH</t>
  </si>
  <si>
    <t>gpt-3.5-turbo + RAG + GRAPH</t>
  </si>
  <si>
    <t>gpt-4-turbo + RAG + GRAPH</t>
  </si>
  <si>
    <t>Expert Reference</t>
  </si>
  <si>
    <t>Formal Reference (Information thought at the school.)</t>
  </si>
  <si>
    <t>Non-expert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</si>
</sst>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08AA-E150-46FB-B7A6-75A0B5C425A8}">
  <dimension ref="A1:C7"/>
  <sheetViews>
    <sheetView workbookViewId="0">
      <selection activeCell="A7" sqref="A7:B7"/>
    </sheetView>
  </sheetViews>
  <sheetFormatPr defaultRowHeight="14.4" x14ac:dyDescent="0.55000000000000004"/>
  <cols>
    <col min="1" max="1" width="2" bestFit="1" customWidth="1"/>
    <col min="2" max="2" width="27.5234375" customWidth="1"/>
    <col min="3" max="3" width="14.20703125" bestFit="1" customWidth="1"/>
  </cols>
  <sheetData>
    <row r="1" spans="1:3" x14ac:dyDescent="0.55000000000000004">
      <c r="A1" s="3"/>
      <c r="B1" s="2" t="s">
        <v>36</v>
      </c>
      <c r="C1" s="1" t="s">
        <v>35</v>
      </c>
    </row>
    <row r="2" spans="1:3" x14ac:dyDescent="0.55000000000000004">
      <c r="A2" s="1">
        <v>1</v>
      </c>
      <c r="B2" s="3" t="s">
        <v>30</v>
      </c>
      <c r="C2" s="3" t="e">
        <f>SUM(#REF!)</f>
        <v>#REF!</v>
      </c>
    </row>
    <row r="3" spans="1:3" x14ac:dyDescent="0.55000000000000004">
      <c r="A3" s="1">
        <v>2</v>
      </c>
      <c r="B3" s="3" t="s">
        <v>31</v>
      </c>
      <c r="C3" s="3">
        <f>SUM(CubeSat!C30:J30)</f>
        <v>208</v>
      </c>
    </row>
    <row r="4" spans="1:3" x14ac:dyDescent="0.55000000000000004">
      <c r="A4" s="1">
        <v>3</v>
      </c>
      <c r="B4" s="3" t="s">
        <v>32</v>
      </c>
      <c r="C4" s="3">
        <f>SUM(PowerDrill!C30:J30)</f>
        <v>208</v>
      </c>
    </row>
    <row r="5" spans="1:3" x14ac:dyDescent="0.55000000000000004">
      <c r="A5" s="1">
        <v>4</v>
      </c>
      <c r="B5" s="3" t="s">
        <v>33</v>
      </c>
      <c r="C5" s="3">
        <f>SUM(PowerDrill!C30:J30)</f>
        <v>208</v>
      </c>
    </row>
    <row r="6" spans="1:3" x14ac:dyDescent="0.55000000000000004">
      <c r="A6" s="1">
        <v>5</v>
      </c>
      <c r="B6" s="3" t="s">
        <v>34</v>
      </c>
      <c r="C6" s="3" t="e">
        <f>SUM(#REF!)</f>
        <v>#REF!</v>
      </c>
    </row>
    <row r="7" spans="1:3" x14ac:dyDescent="0.55000000000000004">
      <c r="A7" s="8" t="s">
        <v>37</v>
      </c>
      <c r="B7" s="8"/>
      <c r="C7" s="3" t="e">
        <f>SUM(C2:C6)</f>
        <v>#REF!</v>
      </c>
    </row>
  </sheetData>
  <mergeCells count="1"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80ED-F928-451C-B669-910CE7144E82}">
  <dimension ref="A1:J35"/>
  <sheetViews>
    <sheetView tabSelected="1" topLeftCell="A14" workbookViewId="0">
      <selection activeCell="A32" sqref="A32:J35"/>
    </sheetView>
  </sheetViews>
  <sheetFormatPr defaultRowHeight="14.4" x14ac:dyDescent="0.55000000000000004"/>
  <cols>
    <col min="1" max="1" width="3" bestFit="1" customWidth="1"/>
    <col min="2" max="2" width="36.5234375" bestFit="1" customWidth="1"/>
    <col min="3" max="3" width="6" bestFit="1" customWidth="1"/>
    <col min="4" max="6" width="3.1015625" bestFit="1" customWidth="1"/>
    <col min="7" max="9" width="6.1015625" bestFit="1" customWidth="1"/>
    <col min="10" max="10" width="9.1015625" bestFit="1" customWidth="1"/>
  </cols>
  <sheetData>
    <row r="1" spans="1:10" x14ac:dyDescent="0.55000000000000004">
      <c r="A1" s="1" t="s">
        <v>8</v>
      </c>
      <c r="B1" s="2" t="s">
        <v>38</v>
      </c>
      <c r="C1" s="2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</row>
    <row r="2" spans="1:10" x14ac:dyDescent="0.55000000000000004">
      <c r="A2" s="1">
        <v>1</v>
      </c>
      <c r="B2" s="3" t="s">
        <v>0</v>
      </c>
      <c r="C2" s="4" t="s">
        <v>22</v>
      </c>
      <c r="D2" s="4" t="s">
        <v>15</v>
      </c>
      <c r="E2" s="4" t="s">
        <v>16</v>
      </c>
      <c r="F2" s="4" t="s">
        <v>19</v>
      </c>
      <c r="G2" s="4" t="s">
        <v>17</v>
      </c>
      <c r="H2" s="4" t="s">
        <v>18</v>
      </c>
      <c r="I2" s="4" t="s">
        <v>20</v>
      </c>
      <c r="J2" s="4" t="s">
        <v>21</v>
      </c>
    </row>
    <row r="3" spans="1:10" x14ac:dyDescent="0.55000000000000004">
      <c r="A3" s="1">
        <v>2</v>
      </c>
      <c r="B3" s="3" t="s">
        <v>1</v>
      </c>
      <c r="C3" s="4" t="s">
        <v>22</v>
      </c>
      <c r="D3" s="4" t="s">
        <v>15</v>
      </c>
      <c r="E3" s="4" t="s">
        <v>16</v>
      </c>
      <c r="F3" s="4" t="s">
        <v>19</v>
      </c>
      <c r="G3" s="4" t="s">
        <v>17</v>
      </c>
      <c r="H3" s="4" t="s">
        <v>18</v>
      </c>
      <c r="I3" s="4" t="s">
        <v>20</v>
      </c>
      <c r="J3" s="4" t="s">
        <v>21</v>
      </c>
    </row>
    <row r="4" spans="1:10" x14ac:dyDescent="0.55000000000000004">
      <c r="A4" s="1">
        <v>3</v>
      </c>
      <c r="B4" s="3" t="s">
        <v>46</v>
      </c>
      <c r="C4" s="4" t="s">
        <v>22</v>
      </c>
      <c r="D4" s="4" t="s">
        <v>15</v>
      </c>
      <c r="E4" s="4" t="s">
        <v>16</v>
      </c>
      <c r="F4" s="4" t="s">
        <v>19</v>
      </c>
      <c r="G4" s="4" t="s">
        <v>17</v>
      </c>
      <c r="H4" s="4" t="s">
        <v>18</v>
      </c>
      <c r="I4" s="4" t="s">
        <v>20</v>
      </c>
      <c r="J4" s="4" t="s">
        <v>21</v>
      </c>
    </row>
    <row r="5" spans="1:10" x14ac:dyDescent="0.55000000000000004">
      <c r="A5" s="1">
        <v>4</v>
      </c>
      <c r="B5" s="3" t="s">
        <v>3</v>
      </c>
      <c r="C5" s="4" t="s">
        <v>22</v>
      </c>
      <c r="D5" s="4" t="s">
        <v>15</v>
      </c>
      <c r="E5" s="4" t="s">
        <v>16</v>
      </c>
      <c r="F5" s="4" t="s">
        <v>19</v>
      </c>
      <c r="G5" s="4" t="s">
        <v>17</v>
      </c>
      <c r="H5" s="4" t="s">
        <v>18</v>
      </c>
      <c r="I5" s="4" t="s">
        <v>20</v>
      </c>
      <c r="J5" s="4" t="s">
        <v>21</v>
      </c>
    </row>
    <row r="6" spans="1:10" x14ac:dyDescent="0.55000000000000004">
      <c r="A6" s="1">
        <v>5</v>
      </c>
      <c r="B6" s="3" t="s">
        <v>4</v>
      </c>
      <c r="C6" s="4" t="s">
        <v>22</v>
      </c>
      <c r="D6" s="4" t="s">
        <v>15</v>
      </c>
      <c r="E6" s="4" t="s">
        <v>16</v>
      </c>
      <c r="F6" s="4" t="s">
        <v>19</v>
      </c>
      <c r="G6" s="4" t="s">
        <v>17</v>
      </c>
      <c r="H6" s="4" t="s">
        <v>18</v>
      </c>
      <c r="I6" s="4" t="s">
        <v>20</v>
      </c>
      <c r="J6" s="4" t="s">
        <v>21</v>
      </c>
    </row>
    <row r="7" spans="1:10" x14ac:dyDescent="0.55000000000000004">
      <c r="A7" s="1">
        <v>6</v>
      </c>
      <c r="B7" s="3" t="s">
        <v>47</v>
      </c>
      <c r="C7" s="4" t="s">
        <v>22</v>
      </c>
      <c r="D7" s="4" t="s">
        <v>15</v>
      </c>
      <c r="E7" s="4" t="s">
        <v>16</v>
      </c>
      <c r="F7" s="4" t="s">
        <v>19</v>
      </c>
      <c r="G7" s="4" t="s">
        <v>17</v>
      </c>
      <c r="H7" s="4" t="s">
        <v>18</v>
      </c>
      <c r="I7" s="4" t="s">
        <v>20</v>
      </c>
      <c r="J7" s="4" t="s">
        <v>21</v>
      </c>
    </row>
    <row r="8" spans="1:10" x14ac:dyDescent="0.55000000000000004">
      <c r="A8" s="1">
        <v>7</v>
      </c>
      <c r="B8" s="3" t="s">
        <v>5</v>
      </c>
      <c r="C8" s="4" t="s">
        <v>22</v>
      </c>
      <c r="D8" s="4" t="s">
        <v>15</v>
      </c>
      <c r="E8" s="4" t="s">
        <v>16</v>
      </c>
      <c r="F8" s="4" t="s">
        <v>19</v>
      </c>
      <c r="G8" s="4" t="s">
        <v>17</v>
      </c>
      <c r="H8" s="4" t="s">
        <v>18</v>
      </c>
      <c r="I8" s="4" t="s">
        <v>20</v>
      </c>
      <c r="J8" s="4" t="s">
        <v>21</v>
      </c>
    </row>
    <row r="9" spans="1:10" x14ac:dyDescent="0.55000000000000004">
      <c r="A9" s="1">
        <v>8</v>
      </c>
      <c r="B9" s="3" t="s">
        <v>6</v>
      </c>
      <c r="C9" s="4" t="s">
        <v>22</v>
      </c>
      <c r="D9" s="4" t="s">
        <v>15</v>
      </c>
      <c r="E9" s="4" t="s">
        <v>16</v>
      </c>
      <c r="F9" s="4" t="s">
        <v>19</v>
      </c>
      <c r="G9" s="4" t="s">
        <v>17</v>
      </c>
      <c r="H9" s="4" t="s">
        <v>18</v>
      </c>
      <c r="I9" s="4" t="s">
        <v>20</v>
      </c>
      <c r="J9" s="4" t="s">
        <v>21</v>
      </c>
    </row>
    <row r="10" spans="1:10" x14ac:dyDescent="0.55000000000000004">
      <c r="A10" s="1">
        <v>9</v>
      </c>
      <c r="B10" s="3" t="s">
        <v>7</v>
      </c>
      <c r="C10" s="4" t="s">
        <v>22</v>
      </c>
      <c r="D10" s="4" t="s">
        <v>15</v>
      </c>
      <c r="E10" s="4" t="s">
        <v>16</v>
      </c>
      <c r="F10" s="4" t="s">
        <v>19</v>
      </c>
      <c r="G10" s="4" t="s">
        <v>17</v>
      </c>
      <c r="H10" s="4" t="s">
        <v>18</v>
      </c>
      <c r="I10" s="4" t="s">
        <v>20</v>
      </c>
      <c r="J10" s="4" t="s">
        <v>21</v>
      </c>
    </row>
    <row r="11" spans="1:10" x14ac:dyDescent="0.55000000000000004">
      <c r="A11" s="1">
        <v>10</v>
      </c>
      <c r="B11" s="3" t="s">
        <v>9</v>
      </c>
      <c r="C11" s="4" t="s">
        <v>22</v>
      </c>
      <c r="D11" s="4" t="s">
        <v>15</v>
      </c>
      <c r="E11" s="4" t="s">
        <v>16</v>
      </c>
      <c r="F11" s="4" t="s">
        <v>19</v>
      </c>
      <c r="G11" s="4" t="s">
        <v>17</v>
      </c>
      <c r="H11" s="4" t="s">
        <v>18</v>
      </c>
      <c r="I11" s="4" t="s">
        <v>20</v>
      </c>
      <c r="J11" s="4" t="s">
        <v>21</v>
      </c>
    </row>
    <row r="12" spans="1:10" x14ac:dyDescent="0.55000000000000004">
      <c r="A12" s="1">
        <v>11</v>
      </c>
      <c r="B12" s="3" t="s">
        <v>10</v>
      </c>
      <c r="C12" s="4" t="s">
        <v>22</v>
      </c>
      <c r="D12" s="4" t="s">
        <v>15</v>
      </c>
      <c r="E12" s="4" t="s">
        <v>16</v>
      </c>
      <c r="F12" s="4" t="s">
        <v>19</v>
      </c>
      <c r="G12" s="4" t="s">
        <v>17</v>
      </c>
      <c r="H12" s="4" t="s">
        <v>18</v>
      </c>
      <c r="I12" s="4" t="s">
        <v>20</v>
      </c>
      <c r="J12" s="4" t="s">
        <v>21</v>
      </c>
    </row>
    <row r="13" spans="1:10" x14ac:dyDescent="0.55000000000000004">
      <c r="A13" s="1">
        <v>12</v>
      </c>
      <c r="B13" s="3" t="s">
        <v>40</v>
      </c>
      <c r="C13" s="4" t="s">
        <v>22</v>
      </c>
      <c r="D13" s="4" t="s">
        <v>15</v>
      </c>
      <c r="E13" s="4" t="s">
        <v>16</v>
      </c>
      <c r="F13" s="4" t="s">
        <v>19</v>
      </c>
      <c r="G13" s="4" t="s">
        <v>17</v>
      </c>
      <c r="H13" s="4" t="s">
        <v>18</v>
      </c>
      <c r="I13" s="4" t="s">
        <v>20</v>
      </c>
      <c r="J13" s="4" t="s">
        <v>21</v>
      </c>
    </row>
    <row r="14" spans="1:10" x14ac:dyDescent="0.55000000000000004">
      <c r="A14" s="1">
        <v>13</v>
      </c>
      <c r="B14" s="3" t="s">
        <v>11</v>
      </c>
      <c r="C14" s="4" t="s">
        <v>22</v>
      </c>
      <c r="D14" s="4" t="s">
        <v>15</v>
      </c>
      <c r="E14" s="4" t="s">
        <v>16</v>
      </c>
      <c r="F14" s="4" t="s">
        <v>19</v>
      </c>
      <c r="G14" s="4" t="s">
        <v>17</v>
      </c>
      <c r="H14" s="4" t="s">
        <v>18</v>
      </c>
      <c r="I14" s="4" t="s">
        <v>20</v>
      </c>
      <c r="J14" s="4" t="s">
        <v>21</v>
      </c>
    </row>
    <row r="15" spans="1:10" x14ac:dyDescent="0.55000000000000004">
      <c r="A15" s="1">
        <v>14</v>
      </c>
      <c r="B15" s="3" t="s">
        <v>12</v>
      </c>
      <c r="C15" s="4" t="s">
        <v>22</v>
      </c>
      <c r="D15" s="4" t="s">
        <v>15</v>
      </c>
      <c r="E15" s="4" t="s">
        <v>16</v>
      </c>
      <c r="F15" s="4" t="s">
        <v>19</v>
      </c>
      <c r="G15" s="4" t="s">
        <v>17</v>
      </c>
      <c r="H15" s="4" t="s">
        <v>18</v>
      </c>
      <c r="I15" s="4" t="s">
        <v>20</v>
      </c>
      <c r="J15" s="4" t="s">
        <v>21</v>
      </c>
    </row>
    <row r="16" spans="1:10" x14ac:dyDescent="0.55000000000000004">
      <c r="A16" s="1">
        <v>15</v>
      </c>
      <c r="B16" s="3" t="s">
        <v>41</v>
      </c>
      <c r="C16" s="4" t="s">
        <v>22</v>
      </c>
      <c r="D16" s="4" t="s">
        <v>15</v>
      </c>
      <c r="E16" s="4" t="s">
        <v>16</v>
      </c>
      <c r="F16" s="4" t="s">
        <v>19</v>
      </c>
      <c r="G16" s="4" t="s">
        <v>17</v>
      </c>
      <c r="H16" s="4" t="s">
        <v>18</v>
      </c>
      <c r="I16" s="4" t="s">
        <v>20</v>
      </c>
      <c r="J16" s="4" t="s">
        <v>21</v>
      </c>
    </row>
    <row r="17" spans="1:10" x14ac:dyDescent="0.55000000000000004">
      <c r="A17" s="1">
        <v>16</v>
      </c>
      <c r="B17" s="3" t="s">
        <v>13</v>
      </c>
      <c r="C17" s="4" t="s">
        <v>22</v>
      </c>
      <c r="D17" s="4" t="s">
        <v>15</v>
      </c>
      <c r="E17" s="4" t="s">
        <v>16</v>
      </c>
      <c r="F17" s="4" t="s">
        <v>19</v>
      </c>
      <c r="G17" s="4" t="s">
        <v>17</v>
      </c>
      <c r="H17" s="4" t="s">
        <v>18</v>
      </c>
      <c r="I17" s="4" t="s">
        <v>20</v>
      </c>
      <c r="J17" s="4" t="s">
        <v>21</v>
      </c>
    </row>
    <row r="18" spans="1:10" x14ac:dyDescent="0.55000000000000004">
      <c r="A18" s="1">
        <v>17</v>
      </c>
      <c r="B18" s="3" t="s">
        <v>14</v>
      </c>
      <c r="C18" s="4" t="s">
        <v>22</v>
      </c>
      <c r="D18" s="4" t="s">
        <v>15</v>
      </c>
      <c r="E18" s="4" t="s">
        <v>16</v>
      </c>
      <c r="F18" s="4" t="s">
        <v>19</v>
      </c>
      <c r="G18" s="4" t="s">
        <v>17</v>
      </c>
      <c r="H18" s="4" t="s">
        <v>18</v>
      </c>
      <c r="I18" s="4" t="s">
        <v>20</v>
      </c>
      <c r="J18" s="4" t="s">
        <v>21</v>
      </c>
    </row>
    <row r="19" spans="1:10" x14ac:dyDescent="0.55000000000000004">
      <c r="A19" s="1">
        <v>18</v>
      </c>
      <c r="B19" s="3" t="s">
        <v>42</v>
      </c>
      <c r="C19" s="4" t="s">
        <v>22</v>
      </c>
      <c r="D19" s="4" t="s">
        <v>15</v>
      </c>
      <c r="E19" s="4" t="s">
        <v>16</v>
      </c>
      <c r="F19" s="4" t="s">
        <v>19</v>
      </c>
      <c r="G19" s="4" t="s">
        <v>17</v>
      </c>
      <c r="H19" s="4" t="s">
        <v>18</v>
      </c>
      <c r="I19" s="4" t="s">
        <v>20</v>
      </c>
      <c r="J19" s="4" t="s">
        <v>21</v>
      </c>
    </row>
    <row r="20" spans="1:10" x14ac:dyDescent="0.55000000000000004">
      <c r="A20" s="1">
        <v>19</v>
      </c>
      <c r="B20" s="3" t="s">
        <v>23</v>
      </c>
      <c r="C20" s="4" t="s">
        <v>22</v>
      </c>
      <c r="D20" s="4" t="s">
        <v>15</v>
      </c>
      <c r="E20" s="4" t="s">
        <v>16</v>
      </c>
      <c r="F20" s="4" t="s">
        <v>19</v>
      </c>
      <c r="G20" s="4" t="s">
        <v>17</v>
      </c>
      <c r="H20" s="4" t="s">
        <v>18</v>
      </c>
      <c r="I20" s="4" t="s">
        <v>20</v>
      </c>
      <c r="J20" s="4" t="s">
        <v>21</v>
      </c>
    </row>
    <row r="21" spans="1:10" x14ac:dyDescent="0.55000000000000004">
      <c r="A21" s="1">
        <v>20</v>
      </c>
      <c r="B21" s="3" t="s">
        <v>26</v>
      </c>
      <c r="C21" s="4" t="s">
        <v>22</v>
      </c>
      <c r="D21" s="4" t="s">
        <v>15</v>
      </c>
      <c r="E21" s="4" t="s">
        <v>16</v>
      </c>
      <c r="F21" s="4" t="s">
        <v>19</v>
      </c>
      <c r="G21" s="4" t="s">
        <v>17</v>
      </c>
      <c r="H21" s="4" t="s">
        <v>18</v>
      </c>
      <c r="I21" s="4" t="s">
        <v>20</v>
      </c>
      <c r="J21" s="4" t="s">
        <v>21</v>
      </c>
    </row>
    <row r="22" spans="1:10" x14ac:dyDescent="0.55000000000000004">
      <c r="A22" s="1">
        <v>21</v>
      </c>
      <c r="B22" s="3" t="s">
        <v>43</v>
      </c>
      <c r="C22" s="4" t="s">
        <v>22</v>
      </c>
      <c r="D22" s="4" t="s">
        <v>15</v>
      </c>
      <c r="E22" s="4" t="s">
        <v>16</v>
      </c>
      <c r="F22" s="4" t="s">
        <v>19</v>
      </c>
      <c r="G22" s="4" t="s">
        <v>17</v>
      </c>
      <c r="H22" s="4" t="s">
        <v>18</v>
      </c>
      <c r="I22" s="4" t="s">
        <v>20</v>
      </c>
      <c r="J22" s="4" t="s">
        <v>21</v>
      </c>
    </row>
    <row r="23" spans="1:10" x14ac:dyDescent="0.55000000000000004">
      <c r="A23" s="1">
        <v>22</v>
      </c>
      <c r="B23" s="3" t="s">
        <v>24</v>
      </c>
      <c r="C23" s="4" t="s">
        <v>22</v>
      </c>
      <c r="D23" s="4" t="s">
        <v>15</v>
      </c>
      <c r="E23" s="4" t="s">
        <v>16</v>
      </c>
      <c r="F23" s="4" t="s">
        <v>19</v>
      </c>
      <c r="G23" s="4" t="s">
        <v>17</v>
      </c>
      <c r="H23" s="4" t="s">
        <v>18</v>
      </c>
      <c r="I23" s="4" t="s">
        <v>20</v>
      </c>
      <c r="J23" s="4" t="s">
        <v>21</v>
      </c>
    </row>
    <row r="24" spans="1:10" x14ac:dyDescent="0.55000000000000004">
      <c r="A24" s="1">
        <v>23</v>
      </c>
      <c r="B24" s="3" t="s">
        <v>27</v>
      </c>
      <c r="C24" s="4" t="s">
        <v>22</v>
      </c>
      <c r="D24" s="4" t="s">
        <v>15</v>
      </c>
      <c r="E24" s="4" t="s">
        <v>16</v>
      </c>
      <c r="F24" s="4" t="s">
        <v>19</v>
      </c>
      <c r="G24" s="4" t="s">
        <v>17</v>
      </c>
      <c r="H24" s="4" t="s">
        <v>18</v>
      </c>
      <c r="I24" s="4" t="s">
        <v>20</v>
      </c>
      <c r="J24" s="4" t="s">
        <v>21</v>
      </c>
    </row>
    <row r="25" spans="1:10" x14ac:dyDescent="0.55000000000000004">
      <c r="A25" s="1">
        <v>24</v>
      </c>
      <c r="B25" s="3" t="s">
        <v>44</v>
      </c>
      <c r="C25" s="4" t="s">
        <v>22</v>
      </c>
      <c r="D25" s="4" t="s">
        <v>15</v>
      </c>
      <c r="E25" s="4" t="s">
        <v>16</v>
      </c>
      <c r="F25" s="4" t="s">
        <v>19</v>
      </c>
      <c r="G25" s="4" t="s">
        <v>17</v>
      </c>
      <c r="H25" s="4" t="s">
        <v>18</v>
      </c>
      <c r="I25" s="4" t="s">
        <v>20</v>
      </c>
      <c r="J25" s="4" t="s">
        <v>21</v>
      </c>
    </row>
    <row r="26" spans="1:10" x14ac:dyDescent="0.55000000000000004">
      <c r="A26" s="1">
        <v>25</v>
      </c>
      <c r="B26" s="3" t="s">
        <v>25</v>
      </c>
      <c r="C26" s="4" t="s">
        <v>22</v>
      </c>
      <c r="D26" s="4" t="s">
        <v>15</v>
      </c>
      <c r="E26" s="4" t="s">
        <v>16</v>
      </c>
      <c r="F26" s="4" t="s">
        <v>19</v>
      </c>
      <c r="G26" s="4" t="s">
        <v>17</v>
      </c>
      <c r="H26" s="4" t="s">
        <v>18</v>
      </c>
      <c r="I26" s="4" t="s">
        <v>20</v>
      </c>
      <c r="J26" s="4" t="s">
        <v>21</v>
      </c>
    </row>
    <row r="27" spans="1:10" x14ac:dyDescent="0.55000000000000004">
      <c r="A27" s="1">
        <v>26</v>
      </c>
      <c r="B27" s="3" t="s">
        <v>28</v>
      </c>
      <c r="C27" s="4" t="s">
        <v>22</v>
      </c>
      <c r="D27" s="4" t="s">
        <v>15</v>
      </c>
      <c r="E27" s="4" t="s">
        <v>16</v>
      </c>
      <c r="F27" s="4" t="s">
        <v>19</v>
      </c>
      <c r="G27" s="4" t="s">
        <v>17</v>
      </c>
      <c r="H27" s="4" t="s">
        <v>18</v>
      </c>
      <c r="I27" s="4" t="s">
        <v>20</v>
      </c>
      <c r="J27" s="4" t="s">
        <v>21</v>
      </c>
    </row>
    <row r="28" spans="1:10" x14ac:dyDescent="0.55000000000000004">
      <c r="A28" s="5">
        <v>27</v>
      </c>
      <c r="B28" s="6" t="s">
        <v>45</v>
      </c>
      <c r="C28" s="7" t="s">
        <v>22</v>
      </c>
      <c r="D28" s="7" t="s">
        <v>15</v>
      </c>
      <c r="E28" s="7" t="s">
        <v>16</v>
      </c>
      <c r="F28" s="7" t="s">
        <v>19</v>
      </c>
      <c r="G28" s="7" t="s">
        <v>17</v>
      </c>
      <c r="H28" s="7" t="s">
        <v>18</v>
      </c>
      <c r="I28" s="7" t="s">
        <v>20</v>
      </c>
      <c r="J28" s="7" t="s">
        <v>21</v>
      </c>
    </row>
    <row r="29" spans="1:10" x14ac:dyDescent="0.55000000000000004">
      <c r="A29" s="9" t="s">
        <v>39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55000000000000004">
      <c r="A30" s="8" t="s">
        <v>29</v>
      </c>
      <c r="B30" s="8"/>
      <c r="C30" s="3">
        <f>COUNTIF(C2:C27, "no_ref")</f>
        <v>26</v>
      </c>
      <c r="D30" s="3">
        <f t="shared" ref="D30:J30" si="0">COUNTIF(D2:D27, D28)</f>
        <v>26</v>
      </c>
      <c r="E30" s="3">
        <f t="shared" si="0"/>
        <v>26</v>
      </c>
      <c r="F30" s="3">
        <f t="shared" si="0"/>
        <v>26</v>
      </c>
      <c r="G30" s="3">
        <f t="shared" si="0"/>
        <v>26</v>
      </c>
      <c r="H30" s="3">
        <f t="shared" si="0"/>
        <v>26</v>
      </c>
      <c r="I30" s="3">
        <f t="shared" si="0"/>
        <v>26</v>
      </c>
      <c r="J30" s="3">
        <f t="shared" si="0"/>
        <v>26</v>
      </c>
    </row>
    <row r="32" spans="1:10" x14ac:dyDescent="0.55000000000000004">
      <c r="A32" s="3"/>
      <c r="B32" s="8" t="s">
        <v>2</v>
      </c>
      <c r="C32" s="8"/>
      <c r="D32" s="8"/>
      <c r="E32" s="8"/>
      <c r="F32" s="8"/>
      <c r="G32" s="8"/>
      <c r="H32" s="8"/>
      <c r="I32" s="8"/>
      <c r="J32" s="8"/>
    </row>
    <row r="33" spans="1:10" x14ac:dyDescent="0.55000000000000004">
      <c r="A33" s="1" t="s">
        <v>15</v>
      </c>
      <c r="B33" s="10" t="s">
        <v>48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55000000000000004">
      <c r="A34" s="1" t="s">
        <v>16</v>
      </c>
      <c r="B34" s="10" t="s">
        <v>49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55000000000000004">
      <c r="A35" s="1" t="s">
        <v>19</v>
      </c>
      <c r="B35" s="10" t="s">
        <v>50</v>
      </c>
      <c r="C35" s="10"/>
      <c r="D35" s="10"/>
      <c r="E35" s="10"/>
      <c r="F35" s="10"/>
      <c r="G35" s="10"/>
      <c r="H35" s="10"/>
      <c r="I35" s="10"/>
      <c r="J35" s="10"/>
    </row>
  </sheetData>
  <mergeCells count="6">
    <mergeCell ref="B35:J35"/>
    <mergeCell ref="A29:J29"/>
    <mergeCell ref="A30:B30"/>
    <mergeCell ref="B32:J32"/>
    <mergeCell ref="B33:J33"/>
    <mergeCell ref="B34:J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D24D-E12A-4C89-AFAC-2B15C9415075}">
  <dimension ref="A1:J35"/>
  <sheetViews>
    <sheetView topLeftCell="A26" workbookViewId="0">
      <selection activeCell="A32" sqref="A32:J35"/>
    </sheetView>
  </sheetViews>
  <sheetFormatPr defaultRowHeight="14.4" x14ac:dyDescent="0.55000000000000004"/>
  <cols>
    <col min="1" max="1" width="3" bestFit="1" customWidth="1"/>
    <col min="2" max="2" width="36.5234375" bestFit="1" customWidth="1"/>
    <col min="3" max="3" width="6" bestFit="1" customWidth="1"/>
    <col min="4" max="6" width="3.1015625" bestFit="1" customWidth="1"/>
    <col min="7" max="9" width="6.1015625" bestFit="1" customWidth="1"/>
    <col min="10" max="10" width="9.1015625" bestFit="1" customWidth="1"/>
  </cols>
  <sheetData>
    <row r="1" spans="1:10" x14ac:dyDescent="0.55000000000000004">
      <c r="A1" s="1" t="s">
        <v>8</v>
      </c>
      <c r="B1" s="2" t="s">
        <v>38</v>
      </c>
      <c r="C1" s="2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</row>
    <row r="2" spans="1:10" x14ac:dyDescent="0.55000000000000004">
      <c r="A2" s="1">
        <v>1</v>
      </c>
      <c r="B2" s="3" t="s">
        <v>0</v>
      </c>
      <c r="C2" s="4" t="s">
        <v>22</v>
      </c>
      <c r="D2" s="4" t="s">
        <v>15</v>
      </c>
      <c r="E2" s="4" t="s">
        <v>16</v>
      </c>
      <c r="F2" s="4" t="s">
        <v>19</v>
      </c>
      <c r="G2" s="4" t="s">
        <v>17</v>
      </c>
      <c r="H2" s="4" t="s">
        <v>18</v>
      </c>
      <c r="I2" s="4" t="s">
        <v>20</v>
      </c>
      <c r="J2" s="4" t="s">
        <v>21</v>
      </c>
    </row>
    <row r="3" spans="1:10" x14ac:dyDescent="0.55000000000000004">
      <c r="A3" s="1">
        <v>2</v>
      </c>
      <c r="B3" s="3" t="s">
        <v>1</v>
      </c>
      <c r="C3" s="4" t="s">
        <v>22</v>
      </c>
      <c r="D3" s="4" t="s">
        <v>15</v>
      </c>
      <c r="E3" s="4" t="s">
        <v>16</v>
      </c>
      <c r="F3" s="4" t="s">
        <v>19</v>
      </c>
      <c r="G3" s="4" t="s">
        <v>17</v>
      </c>
      <c r="H3" s="4" t="s">
        <v>18</v>
      </c>
      <c r="I3" s="4" t="s">
        <v>20</v>
      </c>
      <c r="J3" s="4" t="s">
        <v>21</v>
      </c>
    </row>
    <row r="4" spans="1:10" x14ac:dyDescent="0.55000000000000004">
      <c r="A4" s="1">
        <v>3</v>
      </c>
      <c r="B4" s="3" t="s">
        <v>46</v>
      </c>
      <c r="C4" s="4" t="s">
        <v>22</v>
      </c>
      <c r="D4" s="4" t="s">
        <v>15</v>
      </c>
      <c r="E4" s="4" t="s">
        <v>16</v>
      </c>
      <c r="F4" s="4" t="s">
        <v>19</v>
      </c>
      <c r="G4" s="4" t="s">
        <v>17</v>
      </c>
      <c r="H4" s="4" t="s">
        <v>18</v>
      </c>
      <c r="I4" s="4" t="s">
        <v>20</v>
      </c>
      <c r="J4" s="4" t="s">
        <v>21</v>
      </c>
    </row>
    <row r="5" spans="1:10" x14ac:dyDescent="0.55000000000000004">
      <c r="A5" s="1">
        <v>4</v>
      </c>
      <c r="B5" s="3" t="s">
        <v>3</v>
      </c>
      <c r="C5" s="4" t="s">
        <v>22</v>
      </c>
      <c r="D5" s="4" t="s">
        <v>15</v>
      </c>
      <c r="E5" s="4" t="s">
        <v>16</v>
      </c>
      <c r="F5" s="4" t="s">
        <v>19</v>
      </c>
      <c r="G5" s="4" t="s">
        <v>17</v>
      </c>
      <c r="H5" s="4" t="s">
        <v>18</v>
      </c>
      <c r="I5" s="4" t="s">
        <v>20</v>
      </c>
      <c r="J5" s="4" t="s">
        <v>21</v>
      </c>
    </row>
    <row r="6" spans="1:10" x14ac:dyDescent="0.55000000000000004">
      <c r="A6" s="1">
        <v>5</v>
      </c>
      <c r="B6" s="3" t="s">
        <v>4</v>
      </c>
      <c r="C6" s="4" t="s">
        <v>22</v>
      </c>
      <c r="D6" s="4" t="s">
        <v>15</v>
      </c>
      <c r="E6" s="4" t="s">
        <v>16</v>
      </c>
      <c r="F6" s="4" t="s">
        <v>19</v>
      </c>
      <c r="G6" s="4" t="s">
        <v>17</v>
      </c>
      <c r="H6" s="4" t="s">
        <v>18</v>
      </c>
      <c r="I6" s="4" t="s">
        <v>20</v>
      </c>
      <c r="J6" s="4" t="s">
        <v>21</v>
      </c>
    </row>
    <row r="7" spans="1:10" x14ac:dyDescent="0.55000000000000004">
      <c r="A7" s="1">
        <v>6</v>
      </c>
      <c r="B7" s="3" t="s">
        <v>47</v>
      </c>
      <c r="C7" s="4" t="s">
        <v>22</v>
      </c>
      <c r="D7" s="4" t="s">
        <v>15</v>
      </c>
      <c r="E7" s="4" t="s">
        <v>16</v>
      </c>
      <c r="F7" s="4" t="s">
        <v>19</v>
      </c>
      <c r="G7" s="4" t="s">
        <v>17</v>
      </c>
      <c r="H7" s="4" t="s">
        <v>18</v>
      </c>
      <c r="I7" s="4" t="s">
        <v>20</v>
      </c>
      <c r="J7" s="4" t="s">
        <v>21</v>
      </c>
    </row>
    <row r="8" spans="1:10" x14ac:dyDescent="0.55000000000000004">
      <c r="A8" s="1">
        <v>7</v>
      </c>
      <c r="B8" s="3" t="s">
        <v>5</v>
      </c>
      <c r="C8" s="4" t="s">
        <v>22</v>
      </c>
      <c r="D8" s="4" t="s">
        <v>15</v>
      </c>
      <c r="E8" s="4" t="s">
        <v>16</v>
      </c>
      <c r="F8" s="4" t="s">
        <v>19</v>
      </c>
      <c r="G8" s="4" t="s">
        <v>17</v>
      </c>
      <c r="H8" s="4" t="s">
        <v>18</v>
      </c>
      <c r="I8" s="4" t="s">
        <v>20</v>
      </c>
      <c r="J8" s="4" t="s">
        <v>21</v>
      </c>
    </row>
    <row r="9" spans="1:10" x14ac:dyDescent="0.55000000000000004">
      <c r="A9" s="1">
        <v>8</v>
      </c>
      <c r="B9" s="3" t="s">
        <v>6</v>
      </c>
      <c r="C9" s="4" t="s">
        <v>22</v>
      </c>
      <c r="D9" s="4" t="s">
        <v>15</v>
      </c>
      <c r="E9" s="4" t="s">
        <v>16</v>
      </c>
      <c r="F9" s="4" t="s">
        <v>19</v>
      </c>
      <c r="G9" s="4" t="s">
        <v>17</v>
      </c>
      <c r="H9" s="4" t="s">
        <v>18</v>
      </c>
      <c r="I9" s="4" t="s">
        <v>20</v>
      </c>
      <c r="J9" s="4" t="s">
        <v>21</v>
      </c>
    </row>
    <row r="10" spans="1:10" x14ac:dyDescent="0.55000000000000004">
      <c r="A10" s="1">
        <v>9</v>
      </c>
      <c r="B10" s="3" t="s">
        <v>7</v>
      </c>
      <c r="C10" s="4" t="s">
        <v>22</v>
      </c>
      <c r="D10" s="4" t="s">
        <v>15</v>
      </c>
      <c r="E10" s="4" t="s">
        <v>16</v>
      </c>
      <c r="F10" s="4" t="s">
        <v>19</v>
      </c>
      <c r="G10" s="4" t="s">
        <v>17</v>
      </c>
      <c r="H10" s="4" t="s">
        <v>18</v>
      </c>
      <c r="I10" s="4" t="s">
        <v>20</v>
      </c>
      <c r="J10" s="4" t="s">
        <v>21</v>
      </c>
    </row>
    <row r="11" spans="1:10" x14ac:dyDescent="0.55000000000000004">
      <c r="A11" s="1">
        <v>10</v>
      </c>
      <c r="B11" s="3" t="s">
        <v>9</v>
      </c>
      <c r="C11" s="4" t="s">
        <v>22</v>
      </c>
      <c r="D11" s="4" t="s">
        <v>15</v>
      </c>
      <c r="E11" s="4" t="s">
        <v>16</v>
      </c>
      <c r="F11" s="4" t="s">
        <v>19</v>
      </c>
      <c r="G11" s="4" t="s">
        <v>17</v>
      </c>
      <c r="H11" s="4" t="s">
        <v>18</v>
      </c>
      <c r="I11" s="4" t="s">
        <v>20</v>
      </c>
      <c r="J11" s="4" t="s">
        <v>21</v>
      </c>
    </row>
    <row r="12" spans="1:10" x14ac:dyDescent="0.55000000000000004">
      <c r="A12" s="1">
        <v>11</v>
      </c>
      <c r="B12" s="3" t="s">
        <v>10</v>
      </c>
      <c r="C12" s="4" t="s">
        <v>22</v>
      </c>
      <c r="D12" s="4" t="s">
        <v>15</v>
      </c>
      <c r="E12" s="4" t="s">
        <v>16</v>
      </c>
      <c r="F12" s="4" t="s">
        <v>19</v>
      </c>
      <c r="G12" s="4" t="s">
        <v>17</v>
      </c>
      <c r="H12" s="4" t="s">
        <v>18</v>
      </c>
      <c r="I12" s="4" t="s">
        <v>20</v>
      </c>
      <c r="J12" s="4" t="s">
        <v>21</v>
      </c>
    </row>
    <row r="13" spans="1:10" x14ac:dyDescent="0.55000000000000004">
      <c r="A13" s="1">
        <v>12</v>
      </c>
      <c r="B13" s="3" t="s">
        <v>40</v>
      </c>
      <c r="C13" s="4" t="s">
        <v>22</v>
      </c>
      <c r="D13" s="4" t="s">
        <v>15</v>
      </c>
      <c r="E13" s="4" t="s">
        <v>16</v>
      </c>
      <c r="F13" s="4" t="s">
        <v>19</v>
      </c>
      <c r="G13" s="4" t="s">
        <v>17</v>
      </c>
      <c r="H13" s="4" t="s">
        <v>18</v>
      </c>
      <c r="I13" s="4" t="s">
        <v>20</v>
      </c>
      <c r="J13" s="4" t="s">
        <v>21</v>
      </c>
    </row>
    <row r="14" spans="1:10" x14ac:dyDescent="0.55000000000000004">
      <c r="A14" s="1">
        <v>13</v>
      </c>
      <c r="B14" s="3" t="s">
        <v>11</v>
      </c>
      <c r="C14" s="4" t="s">
        <v>22</v>
      </c>
      <c r="D14" s="4" t="s">
        <v>15</v>
      </c>
      <c r="E14" s="4" t="s">
        <v>16</v>
      </c>
      <c r="F14" s="4" t="s">
        <v>19</v>
      </c>
      <c r="G14" s="4" t="s">
        <v>17</v>
      </c>
      <c r="H14" s="4" t="s">
        <v>18</v>
      </c>
      <c r="I14" s="4" t="s">
        <v>20</v>
      </c>
      <c r="J14" s="4" t="s">
        <v>21</v>
      </c>
    </row>
    <row r="15" spans="1:10" x14ac:dyDescent="0.55000000000000004">
      <c r="A15" s="1">
        <v>14</v>
      </c>
      <c r="B15" s="3" t="s">
        <v>12</v>
      </c>
      <c r="C15" s="4" t="s">
        <v>22</v>
      </c>
      <c r="D15" s="4" t="s">
        <v>15</v>
      </c>
      <c r="E15" s="4" t="s">
        <v>16</v>
      </c>
      <c r="F15" s="4" t="s">
        <v>19</v>
      </c>
      <c r="G15" s="4" t="s">
        <v>17</v>
      </c>
      <c r="H15" s="4" t="s">
        <v>18</v>
      </c>
      <c r="I15" s="4" t="s">
        <v>20</v>
      </c>
      <c r="J15" s="4" t="s">
        <v>21</v>
      </c>
    </row>
    <row r="16" spans="1:10" x14ac:dyDescent="0.55000000000000004">
      <c r="A16" s="1">
        <v>15</v>
      </c>
      <c r="B16" s="3" t="s">
        <v>41</v>
      </c>
      <c r="C16" s="4" t="s">
        <v>22</v>
      </c>
      <c r="D16" s="4" t="s">
        <v>15</v>
      </c>
      <c r="E16" s="4" t="s">
        <v>16</v>
      </c>
      <c r="F16" s="4" t="s">
        <v>19</v>
      </c>
      <c r="G16" s="4" t="s">
        <v>17</v>
      </c>
      <c r="H16" s="4" t="s">
        <v>18</v>
      </c>
      <c r="I16" s="4" t="s">
        <v>20</v>
      </c>
      <c r="J16" s="4" t="s">
        <v>21</v>
      </c>
    </row>
    <row r="17" spans="1:10" x14ac:dyDescent="0.55000000000000004">
      <c r="A17" s="1">
        <v>16</v>
      </c>
      <c r="B17" s="3" t="s">
        <v>13</v>
      </c>
      <c r="C17" s="4" t="s">
        <v>22</v>
      </c>
      <c r="D17" s="4" t="s">
        <v>15</v>
      </c>
      <c r="E17" s="4" t="s">
        <v>16</v>
      </c>
      <c r="F17" s="4" t="s">
        <v>19</v>
      </c>
      <c r="G17" s="4" t="s">
        <v>17</v>
      </c>
      <c r="H17" s="4" t="s">
        <v>18</v>
      </c>
      <c r="I17" s="4" t="s">
        <v>20</v>
      </c>
      <c r="J17" s="4" t="s">
        <v>21</v>
      </c>
    </row>
    <row r="18" spans="1:10" x14ac:dyDescent="0.55000000000000004">
      <c r="A18" s="1">
        <v>17</v>
      </c>
      <c r="B18" s="3" t="s">
        <v>14</v>
      </c>
      <c r="C18" s="4" t="s">
        <v>22</v>
      </c>
      <c r="D18" s="4" t="s">
        <v>15</v>
      </c>
      <c r="E18" s="4" t="s">
        <v>16</v>
      </c>
      <c r="F18" s="4" t="s">
        <v>19</v>
      </c>
      <c r="G18" s="4" t="s">
        <v>17</v>
      </c>
      <c r="H18" s="4" t="s">
        <v>18</v>
      </c>
      <c r="I18" s="4" t="s">
        <v>20</v>
      </c>
      <c r="J18" s="4" t="s">
        <v>21</v>
      </c>
    </row>
    <row r="19" spans="1:10" x14ac:dyDescent="0.55000000000000004">
      <c r="A19" s="1">
        <v>18</v>
      </c>
      <c r="B19" s="3" t="s">
        <v>42</v>
      </c>
      <c r="C19" s="4" t="s">
        <v>22</v>
      </c>
      <c r="D19" s="4" t="s">
        <v>15</v>
      </c>
      <c r="E19" s="4" t="s">
        <v>16</v>
      </c>
      <c r="F19" s="4" t="s">
        <v>19</v>
      </c>
      <c r="G19" s="4" t="s">
        <v>17</v>
      </c>
      <c r="H19" s="4" t="s">
        <v>18</v>
      </c>
      <c r="I19" s="4" t="s">
        <v>20</v>
      </c>
      <c r="J19" s="4" t="s">
        <v>21</v>
      </c>
    </row>
    <row r="20" spans="1:10" x14ac:dyDescent="0.55000000000000004">
      <c r="A20" s="1">
        <v>19</v>
      </c>
      <c r="B20" s="3" t="s">
        <v>23</v>
      </c>
      <c r="C20" s="4" t="s">
        <v>22</v>
      </c>
      <c r="D20" s="4" t="s">
        <v>15</v>
      </c>
      <c r="E20" s="4" t="s">
        <v>16</v>
      </c>
      <c r="F20" s="4" t="s">
        <v>19</v>
      </c>
      <c r="G20" s="4" t="s">
        <v>17</v>
      </c>
      <c r="H20" s="4" t="s">
        <v>18</v>
      </c>
      <c r="I20" s="4" t="s">
        <v>20</v>
      </c>
      <c r="J20" s="4" t="s">
        <v>21</v>
      </c>
    </row>
    <row r="21" spans="1:10" x14ac:dyDescent="0.55000000000000004">
      <c r="A21" s="1">
        <v>20</v>
      </c>
      <c r="B21" s="3" t="s">
        <v>26</v>
      </c>
      <c r="C21" s="4" t="s">
        <v>22</v>
      </c>
      <c r="D21" s="4" t="s">
        <v>15</v>
      </c>
      <c r="E21" s="4" t="s">
        <v>16</v>
      </c>
      <c r="F21" s="4" t="s">
        <v>19</v>
      </c>
      <c r="G21" s="4" t="s">
        <v>17</v>
      </c>
      <c r="H21" s="4" t="s">
        <v>18</v>
      </c>
      <c r="I21" s="4" t="s">
        <v>20</v>
      </c>
      <c r="J21" s="4" t="s">
        <v>21</v>
      </c>
    </row>
    <row r="22" spans="1:10" x14ac:dyDescent="0.55000000000000004">
      <c r="A22" s="1">
        <v>21</v>
      </c>
      <c r="B22" s="3" t="s">
        <v>43</v>
      </c>
      <c r="C22" s="4" t="s">
        <v>22</v>
      </c>
      <c r="D22" s="4" t="s">
        <v>15</v>
      </c>
      <c r="E22" s="4" t="s">
        <v>16</v>
      </c>
      <c r="F22" s="4" t="s">
        <v>19</v>
      </c>
      <c r="G22" s="4" t="s">
        <v>17</v>
      </c>
      <c r="H22" s="4" t="s">
        <v>18</v>
      </c>
      <c r="I22" s="4" t="s">
        <v>20</v>
      </c>
      <c r="J22" s="4" t="s">
        <v>21</v>
      </c>
    </row>
    <row r="23" spans="1:10" x14ac:dyDescent="0.55000000000000004">
      <c r="A23" s="1">
        <v>22</v>
      </c>
      <c r="B23" s="3" t="s">
        <v>24</v>
      </c>
      <c r="C23" s="4" t="s">
        <v>22</v>
      </c>
      <c r="D23" s="4" t="s">
        <v>15</v>
      </c>
      <c r="E23" s="4" t="s">
        <v>16</v>
      </c>
      <c r="F23" s="4" t="s">
        <v>19</v>
      </c>
      <c r="G23" s="4" t="s">
        <v>17</v>
      </c>
      <c r="H23" s="4" t="s">
        <v>18</v>
      </c>
      <c r="I23" s="4" t="s">
        <v>20</v>
      </c>
      <c r="J23" s="4" t="s">
        <v>21</v>
      </c>
    </row>
    <row r="24" spans="1:10" x14ac:dyDescent="0.55000000000000004">
      <c r="A24" s="1">
        <v>23</v>
      </c>
      <c r="B24" s="3" t="s">
        <v>27</v>
      </c>
      <c r="C24" s="4" t="s">
        <v>22</v>
      </c>
      <c r="D24" s="4" t="s">
        <v>15</v>
      </c>
      <c r="E24" s="4" t="s">
        <v>16</v>
      </c>
      <c r="F24" s="4" t="s">
        <v>19</v>
      </c>
      <c r="G24" s="4" t="s">
        <v>17</v>
      </c>
      <c r="H24" s="4" t="s">
        <v>18</v>
      </c>
      <c r="I24" s="4" t="s">
        <v>20</v>
      </c>
      <c r="J24" s="4" t="s">
        <v>21</v>
      </c>
    </row>
    <row r="25" spans="1:10" x14ac:dyDescent="0.55000000000000004">
      <c r="A25" s="1">
        <v>24</v>
      </c>
      <c r="B25" s="3" t="s">
        <v>44</v>
      </c>
      <c r="C25" s="4" t="s">
        <v>22</v>
      </c>
      <c r="D25" s="4" t="s">
        <v>15</v>
      </c>
      <c r="E25" s="4" t="s">
        <v>16</v>
      </c>
      <c r="F25" s="4" t="s">
        <v>19</v>
      </c>
      <c r="G25" s="4" t="s">
        <v>17</v>
      </c>
      <c r="H25" s="4" t="s">
        <v>18</v>
      </c>
      <c r="I25" s="4" t="s">
        <v>20</v>
      </c>
      <c r="J25" s="4" t="s">
        <v>21</v>
      </c>
    </row>
    <row r="26" spans="1:10" x14ac:dyDescent="0.55000000000000004">
      <c r="A26" s="1">
        <v>25</v>
      </c>
      <c r="B26" s="3" t="s">
        <v>25</v>
      </c>
      <c r="C26" s="4" t="s">
        <v>22</v>
      </c>
      <c r="D26" s="4" t="s">
        <v>15</v>
      </c>
      <c r="E26" s="4" t="s">
        <v>16</v>
      </c>
      <c r="F26" s="4" t="s">
        <v>19</v>
      </c>
      <c r="G26" s="4" t="s">
        <v>17</v>
      </c>
      <c r="H26" s="4" t="s">
        <v>18</v>
      </c>
      <c r="I26" s="4" t="s">
        <v>20</v>
      </c>
      <c r="J26" s="4" t="s">
        <v>21</v>
      </c>
    </row>
    <row r="27" spans="1:10" x14ac:dyDescent="0.55000000000000004">
      <c r="A27" s="1">
        <v>26</v>
      </c>
      <c r="B27" s="3" t="s">
        <v>28</v>
      </c>
      <c r="C27" s="4" t="s">
        <v>22</v>
      </c>
      <c r="D27" s="4" t="s">
        <v>15</v>
      </c>
      <c r="E27" s="4" t="s">
        <v>16</v>
      </c>
      <c r="F27" s="4" t="s">
        <v>19</v>
      </c>
      <c r="G27" s="4" t="s">
        <v>17</v>
      </c>
      <c r="H27" s="4" t="s">
        <v>18</v>
      </c>
      <c r="I27" s="4" t="s">
        <v>20</v>
      </c>
      <c r="J27" s="4" t="s">
        <v>21</v>
      </c>
    </row>
    <row r="28" spans="1:10" x14ac:dyDescent="0.55000000000000004">
      <c r="A28" s="5">
        <v>27</v>
      </c>
      <c r="B28" s="6" t="s">
        <v>45</v>
      </c>
      <c r="C28" s="7" t="s">
        <v>22</v>
      </c>
      <c r="D28" s="7" t="s">
        <v>15</v>
      </c>
      <c r="E28" s="7" t="s">
        <v>16</v>
      </c>
      <c r="F28" s="7" t="s">
        <v>19</v>
      </c>
      <c r="G28" s="7" t="s">
        <v>17</v>
      </c>
      <c r="H28" s="7" t="s">
        <v>18</v>
      </c>
      <c r="I28" s="7" t="s">
        <v>20</v>
      </c>
      <c r="J28" s="7" t="s">
        <v>21</v>
      </c>
    </row>
    <row r="29" spans="1:10" x14ac:dyDescent="0.55000000000000004">
      <c r="A29" s="9" t="s">
        <v>39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55000000000000004">
      <c r="A30" s="8" t="s">
        <v>29</v>
      </c>
      <c r="B30" s="8"/>
      <c r="C30" s="3">
        <f>COUNTIF(C2:C27, "no_ref")</f>
        <v>26</v>
      </c>
      <c r="D30" s="3">
        <f t="shared" ref="D30:J30" si="0">COUNTIF(D2:D27, D28)</f>
        <v>26</v>
      </c>
      <c r="E30" s="3">
        <f t="shared" si="0"/>
        <v>26</v>
      </c>
      <c r="F30" s="3">
        <f t="shared" si="0"/>
        <v>26</v>
      </c>
      <c r="G30" s="3">
        <f t="shared" si="0"/>
        <v>26</v>
      </c>
      <c r="H30" s="3">
        <f t="shared" si="0"/>
        <v>26</v>
      </c>
      <c r="I30" s="3">
        <f t="shared" si="0"/>
        <v>26</v>
      </c>
      <c r="J30" s="3">
        <f t="shared" si="0"/>
        <v>26</v>
      </c>
    </row>
    <row r="32" spans="1:10" x14ac:dyDescent="0.55000000000000004">
      <c r="A32" s="3"/>
      <c r="B32" s="8" t="s">
        <v>2</v>
      </c>
      <c r="C32" s="8"/>
      <c r="D32" s="8"/>
      <c r="E32" s="8"/>
      <c r="F32" s="8"/>
      <c r="G32" s="8"/>
      <c r="H32" s="8"/>
      <c r="I32" s="8"/>
      <c r="J32" s="8"/>
    </row>
    <row r="33" spans="1:10" x14ac:dyDescent="0.55000000000000004">
      <c r="A33" s="1" t="s">
        <v>15</v>
      </c>
      <c r="B33" s="10" t="s">
        <v>48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55000000000000004">
      <c r="A34" s="1" t="s">
        <v>16</v>
      </c>
      <c r="B34" s="10" t="s">
        <v>49</v>
      </c>
      <c r="C34" s="10"/>
      <c r="D34" s="10"/>
      <c r="E34" s="10"/>
      <c r="F34" s="10"/>
      <c r="G34" s="10"/>
      <c r="H34" s="10"/>
      <c r="I34" s="10"/>
      <c r="J34" s="10"/>
    </row>
    <row r="35" spans="1:10" x14ac:dyDescent="0.55000000000000004">
      <c r="A35" s="1" t="s">
        <v>19</v>
      </c>
      <c r="B35" s="10" t="s">
        <v>50</v>
      </c>
      <c r="C35" s="10"/>
      <c r="D35" s="10"/>
      <c r="E35" s="10"/>
      <c r="F35" s="10"/>
      <c r="G35" s="10"/>
      <c r="H35" s="10"/>
      <c r="I35" s="10"/>
      <c r="J35" s="10"/>
    </row>
  </sheetData>
  <mergeCells count="6">
    <mergeCell ref="B35:J35"/>
    <mergeCell ref="A29:J29"/>
    <mergeCell ref="A30:B30"/>
    <mergeCell ref="B32:J32"/>
    <mergeCell ref="B33:J33"/>
    <mergeCell ref="B34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Coversheet</vt:lpstr>
      <vt:lpstr>CubeSat</vt:lpstr>
      <vt:lpstr>PowerDrill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 Sinan Bank</dc:creator>
  <cp:lastModifiedBy>H. Sinan Bank</cp:lastModifiedBy>
  <dcterms:created xsi:type="dcterms:W3CDTF">2024-11-17T23:12:49Z</dcterms:created>
  <dcterms:modified xsi:type="dcterms:W3CDTF">2025-08-19T02:57:03Z</dcterms:modified>
</cp:coreProperties>
</file>